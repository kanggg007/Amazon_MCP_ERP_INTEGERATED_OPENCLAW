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尺寸分段" sheetId="3" r:id="rId1"/>
    <sheet name="本地配送"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<sst xmlns="http://schemas.openxmlformats.org/spreadsheetml/2006/main" count="308" uniqueCount="237">
  <si>
    <t>商品尺寸分段定义</t>
  </si>
  <si>
    <t>尺寸分段</t>
  </si>
  <si>
    <t>重量</t>
  </si>
  <si>
    <t>商品尺寸分段</t>
  </si>
  <si>
    <r>
      <rPr>
        <b/>
        <sz val="10.5"/>
        <color rgb="FF232F3E"/>
        <rFont val="Arial"/>
        <charset val="134"/>
      </rPr>
      <t>商品重量 </t>
    </r>
    <r>
      <rPr>
        <b/>
        <vertAlign val="superscript"/>
        <sz val="10.5"/>
        <color rgb="FF232F3E"/>
        <rFont val="Arial"/>
        <charset val="134"/>
      </rPr>
      <t>1</t>
    </r>
  </si>
  <si>
    <r>
      <rPr>
        <b/>
        <sz val="10.5"/>
        <color rgb="FF232F3E"/>
        <rFont val="Arial"/>
        <charset val="134"/>
      </rPr>
      <t>体积重量 </t>
    </r>
    <r>
      <rPr>
        <b/>
        <vertAlign val="superscript"/>
        <sz val="10.5"/>
        <color rgb="FF232F3E"/>
        <rFont val="Arial"/>
        <charset val="134"/>
      </rPr>
      <t>1</t>
    </r>
  </si>
  <si>
    <t>最长边</t>
  </si>
  <si>
    <t>次长边</t>
  </si>
  <si>
    <t>最短边</t>
  </si>
  <si>
    <t>（仅基于商品重量）</t>
  </si>
  <si>
    <t>轻型信封</t>
  </si>
  <si>
    <t>100 克</t>
  </si>
  <si>
    <t>不适用</t>
  </si>
  <si>
    <t>33 厘米</t>
  </si>
  <si>
    <t>23 厘米</t>
  </si>
  <si>
    <t>2.5 厘米</t>
  </si>
  <si>
    <t>小包裹 1（35 x 25 x 7 厘米）</t>
  </si>
  <si>
    <t>≤ 3.9 千克</t>
  </si>
  <si>
    <t>标准信封</t>
  </si>
  <si>
    <t>460 克</t>
  </si>
  <si>
    <t>小包裹 2（35 x 25 x 9 厘米）</t>
  </si>
  <si>
    <t>大号信封</t>
  </si>
  <si>
    <t>960 克</t>
  </si>
  <si>
    <t>4 厘米</t>
  </si>
  <si>
    <t>小包裹 3（35 x 25 x 12 厘米）</t>
  </si>
  <si>
    <t>超大号信封</t>
  </si>
  <si>
    <t>6 厘米</t>
  </si>
  <si>
    <t>中号包裹 1（40 x 30 x 6 厘米）</t>
  </si>
  <si>
    <t>≤ 11.9 千克</t>
  </si>
  <si>
    <t>小包裹</t>
  </si>
  <si>
    <t>3.90 千克</t>
  </si>
  <si>
    <t>2.10 千克</t>
  </si>
  <si>
    <t>35 厘米</t>
  </si>
  <si>
    <t>25 厘米</t>
  </si>
  <si>
    <t>12 厘米</t>
  </si>
  <si>
    <t>中号包裹 2（40 x 30 x 20 厘米）</t>
  </si>
  <si>
    <t>标准包裹</t>
  </si>
  <si>
    <t>11.90 千克</t>
  </si>
  <si>
    <t>7.96 千克</t>
  </si>
  <si>
    <t>45 厘米</t>
  </si>
  <si>
    <t>34 厘米</t>
  </si>
  <si>
    <t>26 厘米</t>
  </si>
  <si>
    <t>大号包裹 1（45 x 34 x 10 厘米）</t>
  </si>
  <si>
    <t>小号大件</t>
  </si>
  <si>
    <t>1.76 千克</t>
  </si>
  <si>
    <t>25.82 千克</t>
  </si>
  <si>
    <t>61 厘米</t>
  </si>
  <si>
    <t>46 厘米</t>
  </si>
  <si>
    <t>大号包裹 2（45 x 34 x 26 厘米）</t>
  </si>
  <si>
    <t>&lt; 11.9 千克</t>
  </si>
  <si>
    <t>轻型标准大件</t>
  </si>
  <si>
    <t>15 千克</t>
  </si>
  <si>
    <t>72.72 千克</t>
  </si>
  <si>
    <t>101 厘米</t>
  </si>
  <si>
    <t>60 厘米</t>
  </si>
  <si>
    <t>重型标准大件</t>
  </si>
  <si>
    <t>23 千克</t>
  </si>
  <si>
    <t>大号标准大件</t>
  </si>
  <si>
    <t>86.4 千克</t>
  </si>
  <si>
    <t>120 厘米</t>
  </si>
  <si>
    <t>特大号大件</t>
  </si>
  <si>
    <t>126 千克</t>
  </si>
  <si>
    <t>无限制</t>
  </si>
  <si>
    <t>超重型大件</t>
  </si>
  <si>
    <t>31.5 千克</t>
  </si>
  <si>
    <r>
      <rPr>
        <b/>
        <sz val="10.5"/>
        <color rgb="FF474A4F"/>
        <rFont val="Arial"/>
        <charset val="134"/>
      </rPr>
      <t>特殊大件</t>
    </r>
    <r>
      <rPr>
        <vertAlign val="superscript"/>
        <sz val="10.5"/>
        <color rgb="FF232F3E"/>
        <rFont val="Arial"/>
        <charset val="134"/>
      </rPr>
      <t>2</t>
    </r>
  </si>
  <si>
    <t>超过 31.5 千克</t>
  </si>
  <si>
    <t>1 我们仅使用商品重量，而非商品重量或体积重量中的较大值，来确定信封、特殊大件、通过低价商品亚马逊物流配送的小包裹的商品尺寸分段。
2 对于所选分类中的包裹尺寸商品，我们使用商品重量来确定发货重量。所选分类： 婴儿推车和安全装备；门窗和淋浴配件；护目镜；鞋靴；家具配件；食品；家用粘合剂和线缆扎带；家居亚麻制品和地毯；箱包配件；床垫；包装材料；宠物服装和食品；打印机和扫描仪配件；可重复使用的工作和安全手套；服装和配饰；背包和手提包。
为了确保费用与这些分类2中的商品成本一致，我们采用了 7 个更细化的包裹尺寸分段。在每个分段，我们将对前 100 克收取基本运费，每增加 100 克收取固定费率。</t>
  </si>
  <si>
    <t>3 如果商品满足以下其中一个条件，则会被归类为特殊大件商品：
长度超过 175 厘米（最长边）
重量超过 31.5 千克
围长超过 360 厘米（长 + 2 x 宽 + 2 x 高）</t>
  </si>
  <si>
    <r>
      <rPr>
        <b/>
        <sz val="11"/>
        <color rgb="FF232F3E"/>
        <rFont val="等线"/>
        <charset val="134"/>
        <scheme val="minor"/>
      </rPr>
      <t>亚马逊物流配送费（每件，在亚马逊上销售）- 本地和亚马逊物流欧洲整合服务</t>
    </r>
    <r>
      <rPr>
        <b/>
        <vertAlign val="superscript"/>
        <sz val="11"/>
        <color rgb="FF232F3E"/>
        <rFont val="等线"/>
        <charset val="134"/>
        <scheme val="minor"/>
      </rPr>
      <t>1</t>
    </r>
  </si>
  <si>
    <r>
      <rPr>
        <b/>
        <sz val="11"/>
        <color rgb="FF232F3E"/>
        <rFont val="等线"/>
        <charset val="134"/>
        <scheme val="minor"/>
      </rPr>
      <t>尺寸等级</t>
    </r>
    <r>
      <rPr>
        <b/>
        <vertAlign val="superscript"/>
        <sz val="11"/>
        <color rgb="FF232F3E"/>
        <rFont val="等线"/>
        <charset val="134"/>
        <scheme val="minor"/>
      </rPr>
      <t>2</t>
    </r>
  </si>
  <si>
    <r>
      <rPr>
        <b/>
        <sz val="11"/>
        <color rgb="FF232F3E"/>
        <rFont val="等线"/>
        <charset val="134"/>
        <scheme val="minor"/>
      </rPr>
      <t>配送重量</t>
    </r>
    <r>
      <rPr>
        <b/>
        <vertAlign val="superscript"/>
        <sz val="11"/>
        <color rgb="FF232F3E"/>
        <rFont val="等线"/>
        <charset val="134"/>
        <scheme val="minor"/>
      </rPr>
      <t>3</t>
    </r>
  </si>
  <si>
    <t>尺寸</t>
  </si>
  <si>
    <t>英国</t>
  </si>
  <si>
    <r>
      <rPr>
        <b/>
        <sz val="11"/>
        <color rgb="FF232F3E"/>
        <rFont val="等线"/>
        <charset val="134"/>
        <scheme val="minor"/>
      </rPr>
      <t>中欧计划（德国/波兰/捷克）</t>
    </r>
    <r>
      <rPr>
        <b/>
        <vertAlign val="superscript"/>
        <sz val="11"/>
        <color rgb="FF232F3E"/>
        <rFont val="等线"/>
        <charset val="134"/>
        <scheme val="minor"/>
      </rPr>
      <t>4</t>
    </r>
  </si>
  <si>
    <t>仅限德国</t>
  </si>
  <si>
    <t>FR</t>
  </si>
  <si>
    <t>IT</t>
  </si>
  <si>
    <t>西班牙</t>
  </si>
  <si>
    <t>NL</t>
  </si>
  <si>
    <t>瑞典</t>
  </si>
  <si>
    <t>波兰</t>
  </si>
  <si>
    <t>BE</t>
  </si>
  <si>
    <t>轻信封</t>
  </si>
  <si>
    <t>≤ 20 克</t>
  </si>
  <si>
    <t>≤ 33 x 23 x 2.5 且单位重量 ≤ 100 克</t>
  </si>
  <si>
    <t>33.35 瑞典克朗</t>
  </si>
  <si>
    <t>3.04 波兰兹罗提</t>
  </si>
  <si>
    <t>≤ 40 克</t>
  </si>
  <si>
    <t>33.52 瑞典克朗</t>
  </si>
  <si>
    <t>3.05 波兰兹罗提</t>
  </si>
  <si>
    <t>≤ 60 克</t>
  </si>
  <si>
    <t>33.70 瑞典克朗</t>
  </si>
  <si>
    <t>3.06 波兰兹罗提</t>
  </si>
  <si>
    <t>≤ 80 克</t>
  </si>
  <si>
    <t>35.08 瑞典克朗</t>
  </si>
  <si>
    <t>3.13 波兰兹罗提</t>
  </si>
  <si>
    <t>≤ 100 克</t>
  </si>
  <si>
    <t>35.20 瑞典克朗</t>
  </si>
  <si>
    <t>3.14 波兰兹罗提</t>
  </si>
  <si>
    <t>≤ 210 克</t>
  </si>
  <si>
    <t>≤ 33 x 23 x 2.5 且单位重量 &gt; 100 克</t>
  </si>
  <si>
    <t>35.47 瑞典克朗</t>
  </si>
  <si>
    <t>3.16 波兰兹罗提</t>
  </si>
  <si>
    <t>≤ 460 克</t>
  </si>
  <si>
    <t>41.09 瑞典克朗</t>
  </si>
  <si>
    <t>3.36 波兰兹罗提</t>
  </si>
  <si>
    <t xml:space="preserve">大信封 </t>
  </si>
  <si>
    <t>≤ 960 克</t>
  </si>
  <si>
    <t>≤ 33 x 23 x 4 厘米</t>
  </si>
  <si>
    <t>42.35 瑞典克朗</t>
  </si>
  <si>
    <t>3.49 波兰兹罗提</t>
  </si>
  <si>
    <t>超大信封</t>
  </si>
  <si>
    <t>≤ 33 x 23 x 6 厘米</t>
  </si>
  <si>
    <t>45.62 瑞典克朗</t>
  </si>
  <si>
    <t>3.58 波兰兹罗提</t>
  </si>
  <si>
    <r>
      <rPr>
        <b/>
        <sz val="11"/>
        <color rgb="FF474A4F"/>
        <rFont val="等线"/>
        <charset val="134"/>
        <scheme val="minor"/>
      </rPr>
      <t>小包裹</t>
    </r>
    <r>
      <rPr>
        <b/>
        <vertAlign val="superscript"/>
        <sz val="11"/>
        <color rgb="FF474A4F"/>
        <rFont val="等线"/>
        <charset val="134"/>
        <scheme val="minor"/>
      </rPr>
      <t>5</t>
    </r>
  </si>
  <si>
    <t>≤ 150 克</t>
  </si>
  <si>
    <t>≤ 35 x 25 x 12 厘米，单位重量或体积重量 ≤ 3.90 千克</t>
  </si>
  <si>
    <t>45.41 瑞典克朗</t>
  </si>
  <si>
    <t>3.61 波兰兹罗提</t>
  </si>
  <si>
    <t>≤ 400 克</t>
  </si>
  <si>
    <t>47.29 瑞典克朗</t>
  </si>
  <si>
    <t>3.67 波兰兹罗提</t>
  </si>
  <si>
    <t>≤ 900 克</t>
  </si>
  <si>
    <t>48.19 瑞典克朗</t>
  </si>
  <si>
    <t>3.71 波兰兹罗提</t>
  </si>
  <si>
    <t>≤ 1.40 千克</t>
  </si>
  <si>
    <t>52.68 瑞典克朗</t>
  </si>
  <si>
    <t>3.76 波兰兹罗提</t>
  </si>
  <si>
    <t>≤ 1.90 千克</t>
  </si>
  <si>
    <t>54.49 瑞典克朗</t>
  </si>
  <si>
    <t>3.81 波兰兹罗提</t>
  </si>
  <si>
    <t>≤ 3.90 千克</t>
  </si>
  <si>
    <t>64.10 瑞典克朗</t>
  </si>
  <si>
    <t>3.93 波兰兹罗提</t>
  </si>
  <si>
    <r>
      <rPr>
        <b/>
        <sz val="11"/>
        <color rgb="FF474A4F"/>
        <rFont val="等线"/>
        <charset val="134"/>
        <scheme val="minor"/>
      </rPr>
      <t>标准包裹</t>
    </r>
    <r>
      <rPr>
        <b/>
        <vertAlign val="superscript"/>
        <sz val="11"/>
        <color rgb="FF474A4F"/>
        <rFont val="等线"/>
        <charset val="134"/>
        <scheme val="minor"/>
      </rPr>
      <t>5</t>
    </r>
  </si>
  <si>
    <t>≤ 45 x 34 x 26 厘米，单位重量或体积重量 ≤ 11.90 千克</t>
  </si>
  <si>
    <t>48.58 瑞典克朗</t>
  </si>
  <si>
    <t>51.70 瑞典克朗</t>
  </si>
  <si>
    <t>3.73 波兰兹罗提</t>
  </si>
  <si>
    <t>52.04 瑞典克朗</t>
  </si>
  <si>
    <t>3.80 波兰兹罗提</t>
  </si>
  <si>
    <t>58.46 瑞典克朗</t>
  </si>
  <si>
    <t>3.89 波兰兹罗提</t>
  </si>
  <si>
    <t>61.53 瑞典克朗</t>
  </si>
  <si>
    <t>3.97 波兰兹罗提</t>
  </si>
  <si>
    <t>≤ 2.9 千克</t>
  </si>
  <si>
    <t>65.36 瑞典克朗</t>
  </si>
  <si>
    <t>4.10 波兰兹罗提</t>
  </si>
  <si>
    <t>65.71 瑞典克朗</t>
  </si>
  <si>
    <t>4.15 波兰兹罗提</t>
  </si>
  <si>
    <t>≤ 5.9 千克</t>
  </si>
  <si>
    <t>70.20 瑞典克朗</t>
  </si>
  <si>
    <t>4.19 波兰兹罗提</t>
  </si>
  <si>
    <t>≤ 8.9 千克</t>
  </si>
  <si>
    <t>72.20 瑞典克朗</t>
  </si>
  <si>
    <t>4.24 波兰兹罗提</t>
  </si>
  <si>
    <t>≤ 11.90 千克</t>
  </si>
  <si>
    <t>87.92 瑞典克朗</t>
  </si>
  <si>
    <t>4.37 波兰兹罗提</t>
  </si>
  <si>
    <t>≤ 760 克</t>
  </si>
  <si>
    <t>≤ 61 x 46 x 46 厘米，单位重量 ≤ 1.76 且体积重量 ≤ 25.82 千克</t>
  </si>
  <si>
    <t>&gt; 760 克</t>
  </si>
  <si>
    <t>每增加一千克收取 0.22 英镑</t>
  </si>
  <si>
    <t>每增加一千克收取 0.18 欧元</t>
  </si>
  <si>
    <t>每增加一千克收取 0.2 欧元</t>
  </si>
  <si>
    <t>每增加一千克收取 0.08 欧元</t>
  </si>
  <si>
    <t>每增加一千克收取 0.04 欧元</t>
  </si>
  <si>
    <t>每增加一千克收取 0.07 欧元</t>
  </si>
  <si>
    <t>每增加一千克收取 0.73 瑞典克朗</t>
  </si>
  <si>
    <t>每增加一千克收取 0.03 波兰兹罗提</t>
  </si>
  <si>
    <t>标准大件轻型</t>
  </si>
  <si>
    <t>≤ 101 x 60 x 60 厘米，单位重量 ≤ 15 且体积重量 ≤ 72.72 千克</t>
  </si>
  <si>
    <t>每增加一千克收取 0.15 英镑</t>
  </si>
  <si>
    <t>每增加一千克收取 0.21 欧元</t>
  </si>
  <si>
    <t>每增加一千克收取 0.22 欧元</t>
  </si>
  <si>
    <t>每增加一千克收取 0.34 欧元</t>
  </si>
  <si>
    <t>每增加一千克收取 3.10 瑞典克朗</t>
  </si>
  <si>
    <t>每增加一千克收取 0.14 波兰兹罗提</t>
  </si>
  <si>
    <t>每增加一千克收取 0.23 欧元</t>
  </si>
  <si>
    <t>标准大件重型</t>
  </si>
  <si>
    <t>≤ 15.76 千克</t>
  </si>
  <si>
    <t>≤ 101 x 60 x 60 厘米，单位重量 &gt; 15 千克且 ≤ 23 千克且体积重量 ≤ 72.72 千克</t>
  </si>
  <si>
    <t>&gt; 15.76 千克</t>
  </si>
  <si>
    <t>每增加一千克收取 0.08 英镑</t>
  </si>
  <si>
    <t>每增加一千克收取 0.11 欧元</t>
  </si>
  <si>
    <t>每增加一千克收取 0.27 欧元</t>
  </si>
  <si>
    <t>每增加一千克收取 4.00 瑞典克朗</t>
  </si>
  <si>
    <t>每增加一千克收取 0.15 波兰兹罗提</t>
  </si>
  <si>
    <t>每增加一千克收取 0.24 欧元</t>
  </si>
  <si>
    <t>标准大件大型</t>
  </si>
  <si>
    <t>≤ 120 x 60 x 60 厘米，单位重量 ≤ 23 且体积重量 ≤ 86.40 千克</t>
  </si>
  <si>
    <t>每增加一千克收取 0.07 英镑</t>
  </si>
  <si>
    <t>每增加一千克收取 0.13 欧元</t>
  </si>
  <si>
    <t>每增加一千克收取 0.09 欧元</t>
  </si>
  <si>
    <t>每增加一千克收取 0.33 欧元</t>
  </si>
  <si>
    <t>每增加一千克收取 0.16 波兰兹罗提</t>
  </si>
  <si>
    <t>每增加一千克收取 0.29 欧元</t>
  </si>
  <si>
    <t>大宗大件</t>
  </si>
  <si>
    <t>&gt;120 x 60 x 60 厘米，单位重量 ≤ 23 千克且体积重量 ≤ 126 千克</t>
  </si>
  <si>
    <t>每增加一千克收取 0.24 英镑</t>
  </si>
  <si>
    <t>每增加一千克收取 0.45 欧元</t>
  </si>
  <si>
    <t>每增加一千克收取 0.30 欧元</t>
  </si>
  <si>
    <t>每增加一千克收取 0.43 欧元</t>
  </si>
  <si>
    <t>每增加一千克收取 0.32 欧元</t>
  </si>
  <si>
    <t>每增加一千克收取 4.90 瑞典克朗</t>
  </si>
  <si>
    <t>每增加一千克收取 0.35 欧元</t>
  </si>
  <si>
    <t>重型大件</t>
  </si>
  <si>
    <t>≤ 31.5 千克</t>
  </si>
  <si>
    <t>单位重量 &gt; 23 千克且 ≤ 31.5 千克或体积重量 ≤ 126 千克</t>
  </si>
  <si>
    <t>192.14 瑞典克朗</t>
  </si>
  <si>
    <t>10.21 波兰兹罗提</t>
  </si>
  <si>
    <t>&gt; 31.5 千克</t>
  </si>
  <si>
    <t>每增加一千克收取 0.09 英镑</t>
  </si>
  <si>
    <t>每增加一千克收取 0.15 欧元</t>
  </si>
  <si>
    <t>每增加一千克收取 0.12 欧元</t>
  </si>
  <si>
    <t>每增加一千克收取 0.62 欧元</t>
  </si>
  <si>
    <t>每增加一千克收取 9.49 瑞典克朗</t>
  </si>
  <si>
    <t>每增加一千克收取 0.39 波兰兹罗提</t>
  </si>
  <si>
    <t>每增加一千克收取 0.68 欧元</t>
  </si>
  <si>
    <t>特殊大件</t>
  </si>
  <si>
    <t xml:space="preserve">&lt; 30 千克 </t>
  </si>
  <si>
    <t>单位重量 &gt; 31.5 千克，最长边 &gt; 175 厘米或周长 &gt; 360 厘米</t>
  </si>
  <si>
    <t>&lt; 40 千克</t>
  </si>
  <si>
    <t xml:space="preserve">&lt; 50 千克 </t>
  </si>
  <si>
    <t xml:space="preserve">&lt; 60 千克 </t>
  </si>
  <si>
    <t>≥ 60 千克</t>
  </si>
  <si>
    <t>每增加一千克收取 0.35 英镑</t>
  </si>
  <si>
    <t>每增加一千克收取 0.36 欧元</t>
  </si>
  <si>
    <t>每增加一千克收取 0.49 欧元</t>
  </si>
  <si>
    <t>每增加一千克收取 0.65 欧元</t>
  </si>
  <si>
    <t>1 对于包含锂电池或与锂电池一同出售的商品，以及危险品（也称为危险物质），每件商品将额外收取 0.10 英镑、0.10 欧元、1.00 瑞典克朗和 0.40 波兰兹罗提的费用，以覆盖处理这些商品所产生的额外成本。</t>
  </si>
  <si>
    <t>2 特定类别的包裹尺寸等级的费用将有所不同：婴儿推车和安全设备；门窗和淋浴配件；眼镜防护；鞋靴；家具配件；杂货和美食；家用粘合剂和扎带；家用亚麻布和地毯；箱包配件；床垫；包装材料；宠物服装和食品；打印机和扫描仪配件；可重复使用的工作和安全手套；服装和配饰；背包和手提包</t>
  </si>
  <si>
    <t>3 对于大件商品（特殊大件除外）和包裹（以下类别商品除外），我们使用体积重量和单位重量中的较大值来确定运输重量：婴儿推车和安全设备；门窗和淋浴配件；眼镜防护；鞋靴；家具配件；杂货和美食；家用粘合剂和扎带；家用亚麻布和地毯；箱包配件；床垫；包装材料；宠物服装和食品；打印机和扫描仪配件；可重复使用的工作和安全手套；服装和配饰；背包和手提包。对于所有其他商品，包括信封、特殊大件商品和低价亚马逊物流商品，我们仅使用单位重量</t>
  </si>
  <si>
    <t>4 如果您在德国有亚马逊物流库存，但未通过允许亚马逊将您的德国亚马逊物流库存存储在波兰和捷克共和国来参与中欧计划，则费用将有所不同。对于标准亚马逊物流和低价亚马逊物流费率，从德国运营中心发货的每件亚马逊物流商品，您需额外支付 0.26 英镑、0.26 欧元、2.50 瑞典克朗或 1.15 波兰兹罗提的配送费。从波兰销往德国的商品将收取德国国内费用</t>
  </si>
  <si>
    <t>5 英国、中欧计划、德国、法国、意大利和西班牙的包裹配送费将于 2025 年 12 月 15 日起更新。所有其他变更将于 2026 年 2 月 1 日生效</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</si>
</sst>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809]#,##0.00"/>
    <numFmt numFmtId="178" formatCode="[$€-2]\ #,##0.00;[Red]\-[$€-2]\ #,##0.00"/>
    <numFmt numFmtId="179" formatCode="[$€-2]\ #,##0.00"/>
    <numFmt numFmtId="180" formatCode="[$SEK]\ #,##0.00_);[Red]\([$SEK]\ #,##0.00\)"/>
    <numFmt numFmtId="181" formatCode="[$PLN]\ #,##0.00_);[Red]\([$PLN]\ #,##0.00\)"/>
  </numFmts>
  <fonts count="30">
    <font>
      <sz val="11"/>
      <color theme="1"/>
      <name val="等线"/>
      <charset val="134"/>
      <scheme val="minor"/>
    </font>
    <font>
      <b/>
      <sz val="11"/>
      <color rgb="FF232F3E"/>
      <name val="等线"/>
      <charset val="134"/>
      <scheme val="minor"/>
    </font>
    <font>
      <b/>
      <sz val="11"/>
      <color rgb="FF474A4F"/>
      <name val="等线"/>
      <charset val="134"/>
      <scheme val="minor"/>
    </font>
    <font>
      <sz val="11"/>
      <color rgb="FF232F3E"/>
      <name val="等线"/>
      <charset val="134"/>
      <scheme val="minor"/>
    </font>
    <font>
      <b/>
      <sz val="10.5"/>
      <color rgb="FF232F3E"/>
      <name val="Arial"/>
      <charset val="134"/>
    </font>
    <font>
      <b/>
      <sz val="10.5"/>
      <color rgb="FF474A4F"/>
      <name val="Arial"/>
      <charset val="134"/>
    </font>
    <font>
      <sz val="10.5"/>
      <color rgb="FF232F3E"/>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vertAlign val="superscript"/>
      <sz val="11"/>
      <color rgb="FF232F3E"/>
      <name val="等线"/>
      <charset val="134"/>
      <scheme val="minor"/>
    </font>
    <font>
      <b/>
      <vertAlign val="superscript"/>
      <sz val="10.5"/>
      <color rgb="FF232F3E"/>
      <name val="Arial"/>
      <charset val="134"/>
    </font>
    <font>
      <vertAlign val="superscript"/>
      <sz val="10.5"/>
      <color rgb="FF232F3E"/>
      <name val="Arial"/>
      <charset val="134"/>
    </font>
    <font>
      <b/>
      <vertAlign val="superscript"/>
      <sz val="11"/>
      <color rgb="FF474A4F"/>
      <name val="等线"/>
      <charset val="134"/>
      <scheme val="minor"/>
    </font>
  </fonts>
  <fills count="37">
    <fill>
      <patternFill patternType="none"/>
    </fill>
    <fill>
      <patternFill patternType="gray125"/>
    </fill>
    <fill>
      <patternFill patternType="solid">
        <fgColor theme="0"/>
        <bgColor indexed="64"/>
      </patternFill>
    </fill>
    <fill>
      <patternFill patternType="solid">
        <fgColor rgb="FFE7E7E7"/>
        <bgColor indexed="64"/>
      </patternFill>
    </fill>
    <fill>
      <patternFill patternType="solid">
        <fgColor rgb="FFCCCCCC"/>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1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2" applyNumberFormat="0" applyFill="0" applyAlignment="0" applyProtection="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4" fillId="0" borderId="0" applyNumberFormat="0" applyFill="0" applyBorder="0" applyAlignment="0" applyProtection="0">
      <alignment vertical="center"/>
    </xf>
    <xf numFmtId="0" fontId="15" fillId="7" borderId="14" applyNumberFormat="0" applyAlignment="0" applyProtection="0">
      <alignment vertical="center"/>
    </xf>
    <xf numFmtId="0" fontId="16" fillId="8" borderId="15" applyNumberFormat="0" applyAlignment="0" applyProtection="0">
      <alignment vertical="center"/>
    </xf>
    <xf numFmtId="0" fontId="17" fillId="8" borderId="14" applyNumberFormat="0" applyAlignment="0" applyProtection="0">
      <alignment vertical="center"/>
    </xf>
    <xf numFmtId="0" fontId="18" fillId="9" borderId="16" applyNumberFormat="0" applyAlignment="0" applyProtection="0">
      <alignment vertical="center"/>
    </xf>
    <xf numFmtId="0" fontId="19" fillId="0" borderId="17" applyNumberFormat="0" applyFill="0" applyAlignment="0" applyProtection="0">
      <alignment vertical="center"/>
    </xf>
    <xf numFmtId="0" fontId="20" fillId="0" borderId="1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32">
    <xf numFmtId="0" fontId="0" fillId="0" borderId="0" xfId="0"/>
    <xf numFmtId="0" fontId="0" fillId="2" borderId="0" xfId="0" applyFill="1"/>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0" fontId="1" fillId="3" borderId="6" xfId="0" applyFont="1" applyFill="1" applyBorder="1" applyAlignment="1">
      <alignment vertical="center" wrapText="1"/>
    </xf>
    <xf numFmtId="0" fontId="2" fillId="0" borderId="7" xfId="0" applyFont="1" applyBorder="1" applyAlignment="1">
      <alignment horizontal="left" vertical="center" wrapText="1"/>
    </xf>
    <xf numFmtId="0" fontId="2" fillId="0" borderId="6" xfId="0" applyFont="1" applyBorder="1" applyAlignment="1">
      <alignment horizontal="left" vertical="center" wrapText="1"/>
    </xf>
    <xf numFmtId="177" fontId="3" fillId="0" borderId="6" xfId="1" applyNumberFormat="1" applyFont="1" applyBorder="1" applyAlignment="1">
      <alignment horizontal="left" vertical="center" wrapText="1"/>
    </xf>
    <xf numFmtId="178" fontId="3" fillId="0" borderId="6" xfId="0" applyNumberFormat="1" applyFont="1" applyBorder="1" applyAlignment="1">
      <alignment horizontal="left" vertical="center" wrapText="1"/>
    </xf>
    <xf numFmtId="179" fontId="3" fillId="0" borderId="6" xfId="0" applyNumberFormat="1" applyFont="1" applyBorder="1" applyAlignment="1">
      <alignment horizontal="left" vertical="center" wrapText="1"/>
    </xf>
    <xf numFmtId="178" fontId="3" fillId="2" borderId="6" xfId="0" applyNumberFormat="1" applyFont="1" applyFill="1" applyBorder="1" applyAlignment="1">
      <alignment horizontal="left" vertical="center" wrapText="1"/>
    </xf>
    <xf numFmtId="180" fontId="3" fillId="2" borderId="6" xfId="0" applyNumberFormat="1" applyFont="1" applyFill="1" applyBorder="1" applyAlignment="1">
      <alignment horizontal="left" vertical="center" wrapText="1"/>
    </xf>
    <xf numFmtId="181" fontId="3" fillId="2" borderId="6" xfId="0" applyNumberFormat="1" applyFont="1" applyFill="1" applyBorder="1" applyAlignment="1">
      <alignment horizontal="left" vertical="center" wrapText="1"/>
    </xf>
    <xf numFmtId="0" fontId="2" fillId="0" borderId="8" xfId="0" applyFont="1" applyBorder="1" applyAlignment="1">
      <alignment horizontal="left" vertical="center" wrapText="1"/>
    </xf>
    <xf numFmtId="177" fontId="3" fillId="0" borderId="6" xfId="0" applyNumberFormat="1" applyFont="1" applyBorder="1" applyAlignment="1">
      <alignment horizontal="left" vertical="center" wrapText="1"/>
    </xf>
    <xf numFmtId="0" fontId="2" fillId="0" borderId="9" xfId="0" applyFont="1" applyBorder="1" applyAlignment="1">
      <alignment horizontal="left" vertical="center" wrapText="1"/>
    </xf>
    <xf numFmtId="180" fontId="3" fillId="0" borderId="6" xfId="0" applyNumberFormat="1" applyFont="1" applyBorder="1" applyAlignment="1">
      <alignment horizontal="left" vertical="center" wrapText="1"/>
    </xf>
    <xf numFmtId="181" fontId="3" fillId="0" borderId="6" xfId="0" applyNumberFormat="1" applyFont="1" applyBorder="1" applyAlignment="1">
      <alignment horizontal="left" vertical="center" wrapText="1"/>
    </xf>
    <xf numFmtId="178" fontId="3" fillId="4" borderId="6" xfId="0" applyNumberFormat="1" applyFont="1" applyFill="1" applyBorder="1" applyAlignment="1">
      <alignment horizontal="left" vertical="center" wrapText="1"/>
    </xf>
    <xf numFmtId="0" fontId="0" fillId="0" borderId="2" xfId="0" applyBorder="1" applyAlignment="1">
      <alignment horizontal="left" wrapText="1"/>
    </xf>
    <xf numFmtId="0" fontId="0" fillId="0" borderId="0" xfId="0" applyAlignment="1">
      <alignment horizontal="left" vertical="top" wrapText="1"/>
    </xf>
    <xf numFmtId="0" fontId="4" fillId="3" borderId="6" xfId="0" applyFont="1" applyFill="1" applyBorder="1" applyAlignment="1">
      <alignment horizontal="left" wrapText="1"/>
    </xf>
    <xf numFmtId="0" fontId="4" fillId="3" borderId="9" xfId="0" applyFont="1" applyFill="1" applyBorder="1" applyAlignment="1">
      <alignment horizontal="left" wrapText="1"/>
    </xf>
    <xf numFmtId="0" fontId="5" fillId="5" borderId="6" xfId="0" applyFont="1" applyFill="1" applyBorder="1" applyAlignment="1">
      <alignment horizontal="left" wrapText="1"/>
    </xf>
    <xf numFmtId="0" fontId="6" fillId="5" borderId="6" xfId="0" applyFont="1" applyFill="1" applyBorder="1" applyAlignment="1">
      <alignment horizontal="left" wrapText="1"/>
    </xf>
    <xf numFmtId="0" fontId="0" fillId="0" borderId="10" xfId="0" applyBorder="1" applyAlignment="1">
      <alignment horizontal="left" vertical="center" wrapText="1"/>
    </xf>
    <xf numFmtId="0" fontId="0" fillId="0" borderId="10" xfId="0" applyBorder="1" applyAlignment="1">
      <alignment horizontal="center" vertical="center" wrapText="1"/>
    </xf>
    <xf numFmtId="0" fontId="0" fillId="0" borderId="10"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I12" sqref="I12"/>
    </sheetView>
  </sheetViews>
  <sheetFormatPr defaultColWidth="9" defaultRowHeight="14.25"/>
  <cols>
    <col min="1" max="1" width="26.375" customWidth="1"/>
    <col min="2" max="2" width="27.5" customWidth="1"/>
    <col min="9" max="9" width="32.5" customWidth="1"/>
    <col min="10" max="10" width="36.5" customWidth="1"/>
  </cols>
  <sheetData>
    <row r="1" ht="16.5" customHeight="1" spans="1:10">
      <c r="A1" s="25" t="s">
        <v>0</v>
      </c>
      <c r="B1" s="25"/>
      <c r="C1" s="25"/>
      <c r="D1" s="25"/>
      <c r="E1" s="25"/>
      <c r="F1" s="25"/>
      <c r="I1" s="26" t="s">
        <v>1</v>
      </c>
      <c r="J1" s="26" t="s">
        <v>2</v>
      </c>
    </row>
    <row r="2" ht="28.5" spans="1:10">
      <c r="A2" s="25" t="s">
        <v>3</v>
      </c>
      <c r="B2" s="25" t="s">
        <v>4</v>
      </c>
      <c r="C2" s="25" t="s">
        <v>5</v>
      </c>
      <c r="D2" s="25" t="s">
        <v>6</v>
      </c>
      <c r="E2" s="25" t="s">
        <v>7</v>
      </c>
      <c r="F2" s="25" t="s">
        <v>8</v>
      </c>
      <c r="I2" s="25"/>
      <c r="J2" s="25" t="s">
        <v>9</v>
      </c>
    </row>
    <row r="3" ht="15" spans="1:10">
      <c r="A3" s="27" t="s">
        <v>10</v>
      </c>
      <c r="B3" s="28" t="s">
        <v>11</v>
      </c>
      <c r="C3" s="28" t="s">
        <v>12</v>
      </c>
      <c r="D3" s="28" t="s">
        <v>13</v>
      </c>
      <c r="E3" s="28" t="s">
        <v>14</v>
      </c>
      <c r="F3" s="28" t="s">
        <v>15</v>
      </c>
      <c r="I3" s="28" t="s">
        <v>16</v>
      </c>
      <c r="J3" s="28" t="s">
        <v>17</v>
      </c>
    </row>
    <row r="4" ht="15" spans="1:10">
      <c r="A4" s="27" t="s">
        <v>18</v>
      </c>
      <c r="B4" s="28" t="s">
        <v>19</v>
      </c>
      <c r="C4" s="28" t="s">
        <v>12</v>
      </c>
      <c r="D4" s="28" t="s">
        <v>13</v>
      </c>
      <c r="E4" s="28" t="s">
        <v>14</v>
      </c>
      <c r="F4" s="28" t="s">
        <v>15</v>
      </c>
      <c r="I4" s="28" t="s">
        <v>20</v>
      </c>
      <c r="J4" s="28" t="s">
        <v>17</v>
      </c>
    </row>
    <row r="5" ht="15" spans="1:10">
      <c r="A5" s="27" t="s">
        <v>21</v>
      </c>
      <c r="B5" s="28" t="s">
        <v>22</v>
      </c>
      <c r="C5" s="28" t="s">
        <v>12</v>
      </c>
      <c r="D5" s="28" t="s">
        <v>13</v>
      </c>
      <c r="E5" s="28" t="s">
        <v>14</v>
      </c>
      <c r="F5" s="28" t="s">
        <v>23</v>
      </c>
      <c r="I5" s="28" t="s">
        <v>24</v>
      </c>
      <c r="J5" s="28" t="s">
        <v>17</v>
      </c>
    </row>
    <row r="6" ht="15" spans="1:10">
      <c r="A6" s="27" t="s">
        <v>25</v>
      </c>
      <c r="B6" s="28" t="s">
        <v>22</v>
      </c>
      <c r="C6" s="28" t="s">
        <v>12</v>
      </c>
      <c r="D6" s="28" t="s">
        <v>13</v>
      </c>
      <c r="E6" s="28" t="s">
        <v>14</v>
      </c>
      <c r="F6" s="28" t="s">
        <v>26</v>
      </c>
      <c r="I6" s="28" t="s">
        <v>27</v>
      </c>
      <c r="J6" s="28" t="s">
        <v>28</v>
      </c>
    </row>
    <row r="7" ht="15" spans="1:10">
      <c r="A7" s="27" t="s">
        <v>29</v>
      </c>
      <c r="B7" s="28" t="s">
        <v>30</v>
      </c>
      <c r="C7" s="28" t="s">
        <v>31</v>
      </c>
      <c r="D7" s="28" t="s">
        <v>32</v>
      </c>
      <c r="E7" s="28" t="s">
        <v>33</v>
      </c>
      <c r="F7" s="28" t="s">
        <v>34</v>
      </c>
      <c r="I7" s="28" t="s">
        <v>35</v>
      </c>
      <c r="J7" s="28" t="s">
        <v>28</v>
      </c>
    </row>
    <row r="8" ht="15" spans="1:10">
      <c r="A8" s="27" t="s">
        <v>36</v>
      </c>
      <c r="B8" s="28" t="s">
        <v>37</v>
      </c>
      <c r="C8" s="28" t="s">
        <v>38</v>
      </c>
      <c r="D8" s="28" t="s">
        <v>39</v>
      </c>
      <c r="E8" s="28" t="s">
        <v>40</v>
      </c>
      <c r="F8" s="28" t="s">
        <v>41</v>
      </c>
      <c r="I8" s="28" t="s">
        <v>42</v>
      </c>
      <c r="J8" s="28" t="s">
        <v>28</v>
      </c>
    </row>
    <row r="9" ht="27" spans="1:10">
      <c r="A9" s="27" t="s">
        <v>43</v>
      </c>
      <c r="B9" s="28" t="s">
        <v>44</v>
      </c>
      <c r="C9" s="28" t="s">
        <v>45</v>
      </c>
      <c r="D9" s="28" t="s">
        <v>46</v>
      </c>
      <c r="E9" s="28" t="s">
        <v>47</v>
      </c>
      <c r="F9" s="28" t="s">
        <v>47</v>
      </c>
      <c r="I9" s="28" t="s">
        <v>48</v>
      </c>
      <c r="J9" s="28" t="s">
        <v>49</v>
      </c>
    </row>
    <row r="10" ht="27" spans="1:10">
      <c r="A10" s="27" t="s">
        <v>50</v>
      </c>
      <c r="B10" s="28" t="s">
        <v>51</v>
      </c>
      <c r="C10" s="28" t="s">
        <v>52</v>
      </c>
      <c r="D10" s="28" t="s">
        <v>53</v>
      </c>
      <c r="E10" s="28" t="s">
        <v>54</v>
      </c>
      <c r="F10" s="28" t="s">
        <v>54</v>
      </c>
    </row>
    <row r="11" ht="27" spans="1:10">
      <c r="A11" s="27" t="s">
        <v>55</v>
      </c>
      <c r="B11" s="28" t="s">
        <v>56</v>
      </c>
      <c r="C11" s="28" t="s">
        <v>52</v>
      </c>
      <c r="D11" s="28" t="s">
        <v>53</v>
      </c>
      <c r="E11" s="28" t="s">
        <v>54</v>
      </c>
      <c r="F11" s="28" t="s">
        <v>54</v>
      </c>
    </row>
    <row r="12" ht="15" spans="1:10">
      <c r="A12" s="27" t="s">
        <v>57</v>
      </c>
      <c r="B12" s="28" t="s">
        <v>56</v>
      </c>
      <c r="C12" s="28" t="s">
        <v>58</v>
      </c>
      <c r="D12" s="28" t="s">
        <v>59</v>
      </c>
      <c r="E12" s="28" t="s">
        <v>54</v>
      </c>
      <c r="F12" s="28" t="s">
        <v>54</v>
      </c>
    </row>
    <row r="13" ht="15" spans="1:10">
      <c r="A13" s="27" t="s">
        <v>60</v>
      </c>
      <c r="B13" s="28" t="s">
        <v>56</v>
      </c>
      <c r="C13" s="28" t="s">
        <v>61</v>
      </c>
      <c r="D13" s="28" t="s">
        <v>62</v>
      </c>
      <c r="E13" s="28" t="s">
        <v>62</v>
      </c>
      <c r="F13" s="28" t="s">
        <v>62</v>
      </c>
    </row>
    <row r="14" ht="15" spans="1:10">
      <c r="A14" s="27" t="s">
        <v>63</v>
      </c>
      <c r="B14" s="28" t="s">
        <v>64</v>
      </c>
      <c r="C14" s="28" t="s">
        <v>61</v>
      </c>
      <c r="D14" s="28" t="s">
        <v>62</v>
      </c>
      <c r="E14" s="28" t="s">
        <v>62</v>
      </c>
      <c r="F14" s="28" t="s">
        <v>62</v>
      </c>
    </row>
    <row r="15" ht="15" spans="1:10">
      <c r="A15" s="27" t="s">
        <v>65</v>
      </c>
      <c r="B15" s="28" t="s">
        <v>66</v>
      </c>
      <c r="C15" s="28" t="s">
        <v>12</v>
      </c>
      <c r="D15" s="28" t="s">
        <v>62</v>
      </c>
      <c r="E15" s="28" t="s">
        <v>62</v>
      </c>
      <c r="F15" s="28" t="s">
        <v>62</v>
      </c>
    </row>
    <row r="17" customFormat="1" spans="1:11">
      <c r="A17" s="29" t="s">
        <v>67</v>
      </c>
      <c r="B17" s="29"/>
      <c r="C17" s="29"/>
      <c r="D17" s="29"/>
      <c r="E17" s="29"/>
      <c r="F17" s="29"/>
      <c r="G17" s="30" t="s">
        <v>68</v>
      </c>
      <c r="H17" s="31"/>
      <c r="I17" s="31"/>
      <c r="J17" s="31"/>
      <c r="K17" s="31"/>
    </row>
    <row r="18" customFormat="1" spans="1:11">
      <c r="A18" s="29"/>
      <c r="B18" s="29"/>
      <c r="C18" s="29"/>
      <c r="D18" s="29"/>
      <c r="E18" s="29"/>
      <c r="F18" s="29"/>
      <c r="G18" s="31"/>
      <c r="H18" s="31"/>
      <c r="I18" s="31"/>
      <c r="J18" s="31"/>
      <c r="K18" s="31"/>
    </row>
    <row r="19" customFormat="1" ht="138" customHeight="1" spans="1:11">
      <c r="A19" s="29"/>
      <c r="B19" s="29"/>
      <c r="C19" s="29"/>
      <c r="D19" s="29"/>
      <c r="E19" s="29"/>
      <c r="F19" s="29"/>
      <c r="G19" s="31"/>
      <c r="H19" s="31"/>
      <c r="I19" s="31"/>
      <c r="J19" s="31"/>
      <c r="K19" s="31"/>
    </row>
  </sheetData>
  <mergeCells count="4">
    <mergeCell ref="A1:F1"/>
    <mergeCell ref="I1:I2"/>
    <mergeCell ref="A17:F19"/>
    <mergeCell ref="G17:K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P53"/>
  <sheetViews>
    <sheetView tabSelected="1" workbookViewId="0">
      <selection activeCell="D22" sqref="D22:D31"/>
    </sheetView>
  </sheetViews>
  <sheetFormatPr defaultColWidth="8.88333333333333" defaultRowHeight="14.25"/>
  <cols>
    <col min="1" max="3" width="8.88333333333333" style="1"/>
    <col min="4" max="4" width="20.2166666666667" style="1" customWidth="1"/>
    <col min="5" max="5" width="20.3333333333333" style="1" customWidth="1"/>
    <col min="6" max="6" width="35.6666666666667" style="1" customWidth="1"/>
    <col min="7" max="13" width="15.1083333333333" style="1" customWidth="1"/>
    <col min="14" max="14" width="17.3333333333333" style="1" customWidth="1"/>
    <col min="15" max="15" width="17.6666666666667" style="1" customWidth="1"/>
    <col min="16" max="16" width="15.1083333333333" style="1" customWidth="1"/>
    <col min="17" max="16384" width="8.88333333333333" style="1"/>
  </cols>
  <sheetData>
    <row r="3" ht="15"/>
    <row r="4" ht="14.4" customHeight="1" spans="4:16">
      <c r="D4" s="2" t="s">
        <v>69</v>
      </c>
      <c r="E4" s="3"/>
      <c r="F4" s="3"/>
      <c r="G4" s="3"/>
      <c r="H4" s="3"/>
      <c r="I4" s="3"/>
      <c r="J4" s="3"/>
      <c r="K4" s="3"/>
      <c r="L4" s="3"/>
      <c r="M4" s="3"/>
      <c r="N4" s="3"/>
      <c r="O4" s="3"/>
      <c r="P4" s="4"/>
    </row>
    <row r="5" ht="15" spans="4:16">
      <c r="D5" s="5"/>
      <c r="E5" s="6"/>
      <c r="F5" s="6"/>
      <c r="G5" s="6"/>
      <c r="H5" s="6"/>
      <c r="I5" s="6"/>
      <c r="J5" s="6"/>
      <c r="K5" s="6"/>
      <c r="L5" s="6"/>
      <c r="M5" s="6"/>
      <c r="N5" s="6"/>
      <c r="O5" s="6"/>
      <c r="P5" s="7"/>
    </row>
    <row r="6" ht="30.75" spans="4:16">
      <c r="D6" s="8" t="s">
        <v>70</v>
      </c>
      <c r="E6" s="8" t="s">
        <v>71</v>
      </c>
      <c r="F6" s="8" t="s">
        <v>72</v>
      </c>
      <c r="G6" s="8" t="s">
        <v>73</v>
      </c>
      <c r="H6" s="8" t="s">
        <v>74</v>
      </c>
      <c r="I6" s="8" t="s">
        <v>75</v>
      </c>
      <c r="J6" s="8" t="s">
        <v>76</v>
      </c>
      <c r="K6" s="8" t="s">
        <v>77</v>
      </c>
      <c r="L6" s="8" t="s">
        <v>78</v>
      </c>
      <c r="M6" s="8" t="s">
        <v>79</v>
      </c>
      <c r="N6" s="8" t="s">
        <v>80</v>
      </c>
      <c r="O6" s="8" t="s">
        <v>81</v>
      </c>
      <c r="P6" s="8" t="s">
        <v>82</v>
      </c>
    </row>
    <row r="7" ht="15" spans="4:16">
      <c r="D7" s="9" t="s">
        <v>83</v>
      </c>
      <c r="E7" s="10" t="s">
        <v>84</v>
      </c>
      <c r="F7" s="9" t="s">
        <v>85</v>
      </c>
      <c r="G7" s="11">
        <v>1.83262362719773</v>
      </c>
      <c r="H7" s="12">
        <v>2.07093297574088</v>
      </c>
      <c r="I7" s="12">
        <v>2.33093297574088</v>
      </c>
      <c r="J7" s="13">
        <v>2.74705632927352</v>
      </c>
      <c r="K7" s="12">
        <v>3.23224996112809</v>
      </c>
      <c r="L7" s="12">
        <v>2.77246121421371</v>
      </c>
      <c r="M7" s="14">
        <v>2.29</v>
      </c>
      <c r="N7" s="15" t="s">
        <v>86</v>
      </c>
      <c r="O7" s="16" t="s">
        <v>87</v>
      </c>
      <c r="P7" s="14">
        <v>2.26</v>
      </c>
    </row>
    <row r="8" ht="15" spans="4:16">
      <c r="D8" s="17"/>
      <c r="E8" s="10" t="s">
        <v>88</v>
      </c>
      <c r="F8" s="17"/>
      <c r="G8" s="18">
        <v>1.86940846574977</v>
      </c>
      <c r="H8" s="12">
        <v>2.11104265574602</v>
      </c>
      <c r="I8" s="12">
        <v>2.37104265574602</v>
      </c>
      <c r="J8" s="13">
        <v>2.76338201717827</v>
      </c>
      <c r="K8" s="12">
        <v>3.26169680716124</v>
      </c>
      <c r="L8" s="12">
        <v>2.8449244373573</v>
      </c>
      <c r="M8" s="14">
        <v>2.33</v>
      </c>
      <c r="N8" s="15" t="s">
        <v>89</v>
      </c>
      <c r="O8" s="16" t="s">
        <v>90</v>
      </c>
      <c r="P8" s="14">
        <v>2.31</v>
      </c>
    </row>
    <row r="9" ht="15" spans="4:16">
      <c r="D9" s="17"/>
      <c r="E9" s="10" t="s">
        <v>91</v>
      </c>
      <c r="F9" s="17"/>
      <c r="G9" s="18">
        <v>1.89297243800712</v>
      </c>
      <c r="H9" s="12">
        <v>2.12916319356358</v>
      </c>
      <c r="I9" s="12">
        <v>2.38916319356358</v>
      </c>
      <c r="J9" s="13">
        <v>2.78150255499583</v>
      </c>
      <c r="K9" s="12">
        <v>3.2798173449788</v>
      </c>
      <c r="L9" s="12">
        <v>2.87210524408364</v>
      </c>
      <c r="M9" s="14">
        <v>2.34</v>
      </c>
      <c r="N9" s="15" t="s">
        <v>92</v>
      </c>
      <c r="O9" s="16" t="s">
        <v>93</v>
      </c>
      <c r="P9" s="14">
        <v>2.31</v>
      </c>
    </row>
    <row r="10" ht="15" spans="4:16">
      <c r="D10" s="17"/>
      <c r="E10" s="10" t="s">
        <v>94</v>
      </c>
      <c r="F10" s="17"/>
      <c r="G10" s="18">
        <v>2.06841224263862</v>
      </c>
      <c r="H10" s="12">
        <v>2.25600695828652</v>
      </c>
      <c r="I10" s="12">
        <v>2.51600695828652</v>
      </c>
      <c r="J10" s="13">
        <v>3.2999838074324</v>
      </c>
      <c r="K10" s="12">
        <v>3.38854057188417</v>
      </c>
      <c r="L10" s="12">
        <v>3.20733519370855</v>
      </c>
      <c r="M10" s="14">
        <v>2.43</v>
      </c>
      <c r="N10" s="15" t="s">
        <v>95</v>
      </c>
      <c r="O10" s="16" t="s">
        <v>96</v>
      </c>
      <c r="P10" s="14">
        <v>2.41</v>
      </c>
    </row>
    <row r="11" ht="15" spans="4:16">
      <c r="D11" s="19"/>
      <c r="E11" s="10" t="s">
        <v>97</v>
      </c>
      <c r="F11" s="19"/>
      <c r="G11" s="18">
        <v>2.07780671073204</v>
      </c>
      <c r="H11" s="12">
        <v>2.2820591394633</v>
      </c>
      <c r="I11" s="12">
        <v>2.5420591394633</v>
      </c>
      <c r="J11" s="13">
        <v>3.32255475112082</v>
      </c>
      <c r="K11" s="12">
        <v>3.41489225247219</v>
      </c>
      <c r="L11" s="12">
        <v>3.23279619475574</v>
      </c>
      <c r="M11" s="14">
        <v>2.45</v>
      </c>
      <c r="N11" s="15" t="s">
        <v>98</v>
      </c>
      <c r="O11" s="16" t="s">
        <v>99</v>
      </c>
      <c r="P11" s="14">
        <v>2.43</v>
      </c>
    </row>
    <row r="12" ht="15" spans="4:16">
      <c r="D12" s="9" t="s">
        <v>18</v>
      </c>
      <c r="E12" s="10" t="s">
        <v>100</v>
      </c>
      <c r="F12" s="9" t="s">
        <v>101</v>
      </c>
      <c r="G12" s="18">
        <v>2.09757128572034</v>
      </c>
      <c r="H12" s="12">
        <v>2.30642308639735</v>
      </c>
      <c r="I12" s="12">
        <v>2.56642308639735</v>
      </c>
      <c r="J12" s="13">
        <v>3.33052971364249</v>
      </c>
      <c r="K12" s="12">
        <v>3.44623610612848</v>
      </c>
      <c r="L12" s="12">
        <v>3.25667487222775</v>
      </c>
      <c r="M12" s="14">
        <v>2.49</v>
      </c>
      <c r="N12" s="15" t="s">
        <v>102</v>
      </c>
      <c r="O12" s="16" t="s">
        <v>103</v>
      </c>
      <c r="P12" s="14">
        <v>2.47</v>
      </c>
    </row>
    <row r="13" ht="15" spans="4:16">
      <c r="D13" s="19"/>
      <c r="E13" s="10" t="s">
        <v>104</v>
      </c>
      <c r="F13" s="19"/>
      <c r="G13" s="18">
        <v>2.15686274509804</v>
      </c>
      <c r="H13" s="12">
        <v>2.42107</v>
      </c>
      <c r="I13" s="12">
        <v>2.68107</v>
      </c>
      <c r="J13" s="13">
        <v>3.76849962824125</v>
      </c>
      <c r="K13" s="12">
        <v>3.63689268469352</v>
      </c>
      <c r="L13" s="12">
        <v>3.44907</v>
      </c>
      <c r="M13" s="14">
        <v>2.58</v>
      </c>
      <c r="N13" s="15" t="s">
        <v>105</v>
      </c>
      <c r="O13" s="16" t="s">
        <v>106</v>
      </c>
      <c r="P13" s="14">
        <v>2.56</v>
      </c>
    </row>
    <row r="14" ht="15" spans="4:16">
      <c r="D14" s="10" t="s">
        <v>107</v>
      </c>
      <c r="E14" s="10" t="s">
        <v>108</v>
      </c>
      <c r="F14" s="10" t="s">
        <v>109</v>
      </c>
      <c r="G14" s="18">
        <v>2.72182314586922</v>
      </c>
      <c r="H14" s="12">
        <v>2.77562</v>
      </c>
      <c r="I14" s="12">
        <v>3.03562</v>
      </c>
      <c r="J14" s="13">
        <v>4.39000611143287</v>
      </c>
      <c r="K14" s="12">
        <v>3.93996707508465</v>
      </c>
      <c r="L14" s="12">
        <v>3.600345</v>
      </c>
      <c r="M14" s="14">
        <v>3.24</v>
      </c>
      <c r="N14" s="15" t="s">
        <v>110</v>
      </c>
      <c r="O14" s="16" t="s">
        <v>111</v>
      </c>
      <c r="P14" s="14">
        <v>3.21</v>
      </c>
    </row>
    <row r="15" ht="15" spans="4:16">
      <c r="D15" s="10" t="s">
        <v>112</v>
      </c>
      <c r="E15" s="10" t="s">
        <v>108</v>
      </c>
      <c r="F15" s="10" t="s">
        <v>113</v>
      </c>
      <c r="G15" s="18">
        <v>2.94090281201579</v>
      </c>
      <c r="H15" s="12">
        <v>3.16056</v>
      </c>
      <c r="I15" s="12">
        <v>3.42056</v>
      </c>
      <c r="J15" s="13">
        <v>4.72306413280898</v>
      </c>
      <c r="K15" s="12">
        <v>4.17232410771785</v>
      </c>
      <c r="L15" s="12">
        <v>3.8463592793193</v>
      </c>
      <c r="M15" s="14">
        <v>3.59</v>
      </c>
      <c r="N15" s="15" t="s">
        <v>114</v>
      </c>
      <c r="O15" s="16" t="s">
        <v>115</v>
      </c>
      <c r="P15" s="14">
        <v>3.53</v>
      </c>
    </row>
    <row r="16" ht="15" customHeight="1" spans="4:16">
      <c r="D16" s="9" t="s">
        <v>116</v>
      </c>
      <c r="E16" s="10" t="s">
        <v>117</v>
      </c>
      <c r="F16" s="9" t="s">
        <v>118</v>
      </c>
      <c r="G16" s="18">
        <v>2.91</v>
      </c>
      <c r="H16" s="12">
        <v>3.12</v>
      </c>
      <c r="I16" s="12">
        <f>H16+0.26</f>
        <v>3.38</v>
      </c>
      <c r="J16" s="13">
        <v>4.56</v>
      </c>
      <c r="K16" s="12">
        <v>4.13</v>
      </c>
      <c r="L16" s="12">
        <v>3.52</v>
      </c>
      <c r="M16" s="14">
        <v>3.46864517896</v>
      </c>
      <c r="N16" s="15" t="s">
        <v>119</v>
      </c>
      <c r="O16" s="16" t="s">
        <v>120</v>
      </c>
      <c r="P16" s="14">
        <v>3.39</v>
      </c>
    </row>
    <row r="17" ht="15" spans="4:16">
      <c r="D17" s="17"/>
      <c r="E17" s="10" t="s">
        <v>121</v>
      </c>
      <c r="F17" s="17"/>
      <c r="G17" s="18">
        <v>3</v>
      </c>
      <c r="H17" s="12">
        <v>3.13</v>
      </c>
      <c r="I17" s="12">
        <f t="shared" ref="I17:I31" si="0">H17+0.26</f>
        <v>3.39</v>
      </c>
      <c r="J17" s="13">
        <v>5.07</v>
      </c>
      <c r="K17" s="12">
        <v>4.54</v>
      </c>
      <c r="L17" s="12">
        <v>3.74</v>
      </c>
      <c r="M17" s="14">
        <v>3.5080534816</v>
      </c>
      <c r="N17" s="15" t="s">
        <v>122</v>
      </c>
      <c r="O17" s="16" t="s">
        <v>123</v>
      </c>
      <c r="P17" s="14">
        <v>3.67</v>
      </c>
    </row>
    <row r="18" ht="15" spans="4:16">
      <c r="D18" s="17"/>
      <c r="E18" s="10" t="s">
        <v>124</v>
      </c>
      <c r="F18" s="17"/>
      <c r="G18" s="18">
        <v>3.04</v>
      </c>
      <c r="H18" s="12">
        <v>3.14</v>
      </c>
      <c r="I18" s="12">
        <f t="shared" si="0"/>
        <v>3.4</v>
      </c>
      <c r="J18" s="13">
        <v>5.79</v>
      </c>
      <c r="K18" s="12">
        <v>4.95</v>
      </c>
      <c r="L18" s="12">
        <v>3.95</v>
      </c>
      <c r="M18" s="14">
        <v>4.028484044</v>
      </c>
      <c r="N18" s="15" t="s">
        <v>125</v>
      </c>
      <c r="O18" s="16" t="s">
        <v>126</v>
      </c>
      <c r="P18" s="14">
        <v>4.15</v>
      </c>
    </row>
    <row r="19" ht="15" spans="4:16">
      <c r="D19" s="17"/>
      <c r="E19" s="10" t="s">
        <v>127</v>
      </c>
      <c r="F19" s="17"/>
      <c r="G19" s="18">
        <v>3.05</v>
      </c>
      <c r="H19" s="12">
        <v>3.15</v>
      </c>
      <c r="I19" s="12">
        <f t="shared" si="0"/>
        <v>3.41</v>
      </c>
      <c r="J19" s="13">
        <v>5.87</v>
      </c>
      <c r="K19" s="12">
        <v>5.11</v>
      </c>
      <c r="L19" s="12">
        <v>4.21</v>
      </c>
      <c r="M19" s="14">
        <v>4.499711766</v>
      </c>
      <c r="N19" s="15" t="s">
        <v>128</v>
      </c>
      <c r="O19" s="16" t="s">
        <v>129</v>
      </c>
      <c r="P19" s="14">
        <v>4.63</v>
      </c>
    </row>
    <row r="20" ht="15" spans="4:16">
      <c r="D20" s="17"/>
      <c r="E20" s="10" t="s">
        <v>130</v>
      </c>
      <c r="F20" s="17"/>
      <c r="G20" s="18">
        <v>3.25</v>
      </c>
      <c r="H20" s="12">
        <v>3.17</v>
      </c>
      <c r="I20" s="12">
        <f t="shared" si="0"/>
        <v>3.43</v>
      </c>
      <c r="J20" s="13">
        <v>6.1</v>
      </c>
      <c r="K20" s="12">
        <v>5.14</v>
      </c>
      <c r="L20" s="12">
        <v>4.27</v>
      </c>
      <c r="M20" s="14">
        <v>4.822895484</v>
      </c>
      <c r="N20" s="15" t="s">
        <v>131</v>
      </c>
      <c r="O20" s="16" t="s">
        <v>132</v>
      </c>
      <c r="P20" s="14">
        <v>4.95</v>
      </c>
    </row>
    <row r="21" ht="15" spans="4:16">
      <c r="D21" s="19"/>
      <c r="E21" s="10" t="s">
        <v>133</v>
      </c>
      <c r="F21" s="19"/>
      <c r="G21" s="18">
        <v>3.27</v>
      </c>
      <c r="H21" s="12">
        <v>4.28</v>
      </c>
      <c r="I21" s="12">
        <f t="shared" si="0"/>
        <v>4.54</v>
      </c>
      <c r="J21" s="13">
        <v>7.8</v>
      </c>
      <c r="K21" s="12">
        <v>5.16</v>
      </c>
      <c r="L21" s="12">
        <v>5.5</v>
      </c>
      <c r="M21" s="14">
        <v>5.89532304278371</v>
      </c>
      <c r="N21" s="15" t="s">
        <v>134</v>
      </c>
      <c r="O21" s="16" t="s">
        <v>135</v>
      </c>
      <c r="P21" s="14">
        <v>6.38</v>
      </c>
    </row>
    <row r="22" ht="15" customHeight="1" spans="4:16">
      <c r="D22" s="9" t="s">
        <v>136</v>
      </c>
      <c r="E22" s="10" t="s">
        <v>117</v>
      </c>
      <c r="F22" s="9" t="s">
        <v>137</v>
      </c>
      <c r="G22" s="18">
        <v>2.94</v>
      </c>
      <c r="H22" s="12">
        <v>3.13</v>
      </c>
      <c r="I22" s="12">
        <f t="shared" si="0"/>
        <v>3.39</v>
      </c>
      <c r="J22" s="13">
        <v>4.58</v>
      </c>
      <c r="K22" s="12">
        <v>4.29</v>
      </c>
      <c r="L22" s="12">
        <v>3.55</v>
      </c>
      <c r="M22" s="14">
        <v>3.62</v>
      </c>
      <c r="N22" s="15" t="s">
        <v>138</v>
      </c>
      <c r="O22" s="16" t="s">
        <v>123</v>
      </c>
      <c r="P22" s="14">
        <v>3.46</v>
      </c>
    </row>
    <row r="23" ht="15" spans="4:16">
      <c r="D23" s="17"/>
      <c r="E23" s="10" t="s">
        <v>121</v>
      </c>
      <c r="F23" s="17"/>
      <c r="G23" s="18">
        <v>3.01</v>
      </c>
      <c r="H23" s="12">
        <v>3.16</v>
      </c>
      <c r="I23" s="12">
        <f t="shared" si="0"/>
        <v>3.42</v>
      </c>
      <c r="J23" s="13">
        <v>5.22</v>
      </c>
      <c r="K23" s="12">
        <v>4.7</v>
      </c>
      <c r="L23" s="12">
        <v>3.77</v>
      </c>
      <c r="M23" s="14">
        <v>3.97</v>
      </c>
      <c r="N23" s="15" t="s">
        <v>139</v>
      </c>
      <c r="O23" s="16" t="s">
        <v>140</v>
      </c>
      <c r="P23" s="14">
        <v>3.85</v>
      </c>
    </row>
    <row r="24" ht="15" spans="4:16">
      <c r="D24" s="17"/>
      <c r="E24" s="10" t="s">
        <v>124</v>
      </c>
      <c r="F24" s="17"/>
      <c r="G24" s="18">
        <v>3.06</v>
      </c>
      <c r="H24" s="12">
        <v>3.18</v>
      </c>
      <c r="I24" s="12">
        <f t="shared" si="0"/>
        <v>3.44</v>
      </c>
      <c r="J24" s="13">
        <v>6.01</v>
      </c>
      <c r="K24" s="12">
        <v>5.15</v>
      </c>
      <c r="L24" s="12">
        <v>3.99</v>
      </c>
      <c r="M24" s="14">
        <v>4.32</v>
      </c>
      <c r="N24" s="15" t="s">
        <v>141</v>
      </c>
      <c r="O24" s="16" t="s">
        <v>142</v>
      </c>
      <c r="P24" s="14">
        <v>4.39</v>
      </c>
    </row>
    <row r="25" ht="15" spans="4:16">
      <c r="D25" s="17"/>
      <c r="E25" s="10" t="s">
        <v>127</v>
      </c>
      <c r="F25" s="17"/>
      <c r="G25" s="18">
        <v>3.26</v>
      </c>
      <c r="H25" s="12">
        <v>3.67</v>
      </c>
      <c r="I25" s="12">
        <f t="shared" si="0"/>
        <v>3.93</v>
      </c>
      <c r="J25" s="13">
        <v>6.41</v>
      </c>
      <c r="K25" s="12">
        <v>5.26</v>
      </c>
      <c r="L25" s="12">
        <v>4.85</v>
      </c>
      <c r="M25" s="14">
        <v>4.65</v>
      </c>
      <c r="N25" s="15" t="s">
        <v>143</v>
      </c>
      <c r="O25" s="16" t="s">
        <v>144</v>
      </c>
      <c r="P25" s="14">
        <v>4.99</v>
      </c>
    </row>
    <row r="26" ht="15" spans="4:16">
      <c r="D26" s="17"/>
      <c r="E26" s="10" t="s">
        <v>130</v>
      </c>
      <c r="F26" s="17"/>
      <c r="G26" s="18">
        <v>3.48</v>
      </c>
      <c r="H26" s="12">
        <v>3.69</v>
      </c>
      <c r="I26" s="12">
        <f t="shared" si="0"/>
        <v>3.95</v>
      </c>
      <c r="J26" s="13">
        <v>6.44</v>
      </c>
      <c r="K26" s="12">
        <v>5.29</v>
      </c>
      <c r="L26" s="12">
        <v>4.94</v>
      </c>
      <c r="M26" s="14">
        <v>4.69</v>
      </c>
      <c r="N26" s="15" t="s">
        <v>145</v>
      </c>
      <c r="O26" s="16" t="s">
        <v>146</v>
      </c>
      <c r="P26" s="14">
        <v>5.40679740786636</v>
      </c>
    </row>
    <row r="27" ht="15" spans="4:16">
      <c r="D27" s="17"/>
      <c r="E27" s="10" t="s">
        <v>147</v>
      </c>
      <c r="F27" s="17"/>
      <c r="G27" s="18">
        <v>3.49</v>
      </c>
      <c r="H27" s="12">
        <v>4.29</v>
      </c>
      <c r="I27" s="12">
        <f t="shared" si="0"/>
        <v>4.55</v>
      </c>
      <c r="J27" s="13">
        <v>7.08</v>
      </c>
      <c r="K27" s="12">
        <v>5.3</v>
      </c>
      <c r="L27" s="12">
        <v>4.98</v>
      </c>
      <c r="M27" s="14">
        <v>4.75</v>
      </c>
      <c r="N27" s="15" t="s">
        <v>148</v>
      </c>
      <c r="O27" s="16" t="s">
        <v>149</v>
      </c>
      <c r="P27" s="14">
        <v>6.27415414385243</v>
      </c>
    </row>
    <row r="28" ht="15" spans="4:16">
      <c r="D28" s="17"/>
      <c r="E28" s="10" t="s">
        <v>17</v>
      </c>
      <c r="F28" s="17"/>
      <c r="G28" s="18">
        <v>3.54</v>
      </c>
      <c r="H28" s="12">
        <v>4.83</v>
      </c>
      <c r="I28" s="12">
        <f t="shared" si="0"/>
        <v>5.09</v>
      </c>
      <c r="J28" s="13">
        <v>7.81</v>
      </c>
      <c r="K28" s="12">
        <v>5.35</v>
      </c>
      <c r="L28" s="12">
        <v>5.53</v>
      </c>
      <c r="M28" s="14">
        <v>5.08</v>
      </c>
      <c r="N28" s="15" t="s">
        <v>150</v>
      </c>
      <c r="O28" s="16" t="s">
        <v>151</v>
      </c>
      <c r="P28" s="14">
        <v>6.30004599364587</v>
      </c>
    </row>
    <row r="29" ht="15" spans="4:16">
      <c r="D29" s="17"/>
      <c r="E29" s="10" t="s">
        <v>152</v>
      </c>
      <c r="F29" s="17"/>
      <c r="G29" s="18">
        <v>3.56</v>
      </c>
      <c r="H29" s="12">
        <v>4.96</v>
      </c>
      <c r="I29" s="12">
        <f t="shared" si="0"/>
        <v>5.22</v>
      </c>
      <c r="J29" s="13">
        <v>8.22</v>
      </c>
      <c r="K29" s="12">
        <v>5.38</v>
      </c>
      <c r="L29" s="12">
        <v>5.96</v>
      </c>
      <c r="M29" s="14">
        <v>5.23</v>
      </c>
      <c r="N29" s="15" t="s">
        <v>153</v>
      </c>
      <c r="O29" s="16" t="s">
        <v>154</v>
      </c>
      <c r="P29" s="14">
        <v>6.54218141486431</v>
      </c>
    </row>
    <row r="30" ht="15" spans="4:16">
      <c r="D30" s="17"/>
      <c r="E30" s="10" t="s">
        <v>155</v>
      </c>
      <c r="F30" s="17"/>
      <c r="G30" s="18">
        <v>3.57</v>
      </c>
      <c r="H30" s="12">
        <v>5.77</v>
      </c>
      <c r="I30" s="12">
        <f t="shared" si="0"/>
        <v>6.03</v>
      </c>
      <c r="J30" s="13">
        <v>8.84</v>
      </c>
      <c r="K30" s="12">
        <v>5.41</v>
      </c>
      <c r="L30" s="12">
        <v>7.24</v>
      </c>
      <c r="M30" s="14">
        <v>5.67</v>
      </c>
      <c r="N30" s="15" t="s">
        <v>156</v>
      </c>
      <c r="O30" s="16" t="s">
        <v>157</v>
      </c>
      <c r="P30" s="14">
        <v>6.90372182504763</v>
      </c>
    </row>
    <row r="31" ht="15" spans="4:16">
      <c r="D31" s="19"/>
      <c r="E31" s="10" t="s">
        <v>158</v>
      </c>
      <c r="F31" s="19"/>
      <c r="G31" s="18">
        <v>3.58</v>
      </c>
      <c r="H31" s="12">
        <v>6.39</v>
      </c>
      <c r="I31" s="12">
        <f t="shared" si="0"/>
        <v>6.65</v>
      </c>
      <c r="J31" s="13">
        <v>9.38</v>
      </c>
      <c r="K31" s="12">
        <v>6.25</v>
      </c>
      <c r="L31" s="12">
        <v>7.85</v>
      </c>
      <c r="M31" s="14">
        <v>6.24</v>
      </c>
      <c r="N31" s="15" t="s">
        <v>159</v>
      </c>
      <c r="O31" s="16" t="s">
        <v>160</v>
      </c>
      <c r="P31" s="14">
        <v>7.35685385895977</v>
      </c>
    </row>
    <row r="32" ht="15" customHeight="1" spans="4:16">
      <c r="D32" s="9" t="s">
        <v>43</v>
      </c>
      <c r="E32" s="10" t="s">
        <v>161</v>
      </c>
      <c r="F32" s="9" t="s">
        <v>162</v>
      </c>
      <c r="G32" s="18">
        <v>3.48999233607139</v>
      </c>
      <c r="H32" s="12">
        <v>4.29977086007325</v>
      </c>
      <c r="I32" s="12">
        <v>4.55977086007325</v>
      </c>
      <c r="J32" s="13">
        <v>7.04539324463704</v>
      </c>
      <c r="K32" s="12">
        <v>7.20885082763585</v>
      </c>
      <c r="L32" s="12">
        <v>5.67883919097935</v>
      </c>
      <c r="M32" s="12">
        <v>7.02</v>
      </c>
      <c r="N32" s="20">
        <v>82.32</v>
      </c>
      <c r="O32" s="21">
        <v>4.13</v>
      </c>
      <c r="P32" s="12">
        <v>6.63</v>
      </c>
    </row>
    <row r="33" ht="29.25" spans="4:16">
      <c r="D33" s="19"/>
      <c r="E33" s="10" t="s">
        <v>163</v>
      </c>
      <c r="F33" s="19"/>
      <c r="G33" s="18" t="s">
        <v>164</v>
      </c>
      <c r="H33" s="12" t="s">
        <v>165</v>
      </c>
      <c r="I33" s="12" t="s">
        <v>165</v>
      </c>
      <c r="J33" s="12" t="s">
        <v>166</v>
      </c>
      <c r="K33" s="12" t="s">
        <v>167</v>
      </c>
      <c r="L33" s="12" t="s">
        <v>168</v>
      </c>
      <c r="M33" s="12" t="s">
        <v>169</v>
      </c>
      <c r="N33" s="20" t="s">
        <v>170</v>
      </c>
      <c r="O33" s="21" t="s">
        <v>171</v>
      </c>
      <c r="P33" s="12" t="s">
        <v>168</v>
      </c>
    </row>
    <row r="34" ht="15" customHeight="1" spans="4:16">
      <c r="D34" s="9" t="s">
        <v>172</v>
      </c>
      <c r="E34" s="10" t="s">
        <v>161</v>
      </c>
      <c r="F34" s="9" t="s">
        <v>173</v>
      </c>
      <c r="G34" s="18">
        <v>4.34751596839135</v>
      </c>
      <c r="H34" s="12">
        <v>4.33088791645714</v>
      </c>
      <c r="I34" s="12">
        <v>4.59088791645714</v>
      </c>
      <c r="J34" s="13">
        <v>7.28801542973015</v>
      </c>
      <c r="K34" s="12">
        <v>7.45158534983354</v>
      </c>
      <c r="L34" s="12">
        <v>6.55463185190801</v>
      </c>
      <c r="M34" s="12">
        <v>7.12</v>
      </c>
      <c r="N34" s="20">
        <v>82.59</v>
      </c>
      <c r="O34" s="21">
        <v>4.15</v>
      </c>
      <c r="P34" s="12">
        <v>6.66</v>
      </c>
    </row>
    <row r="35" ht="29.25" spans="4:16">
      <c r="D35" s="19"/>
      <c r="E35" s="10" t="s">
        <v>163</v>
      </c>
      <c r="F35" s="19"/>
      <c r="G35" s="18" t="s">
        <v>174</v>
      </c>
      <c r="H35" s="12" t="s">
        <v>165</v>
      </c>
      <c r="I35" s="12" t="s">
        <v>165</v>
      </c>
      <c r="J35" s="12" t="s">
        <v>175</v>
      </c>
      <c r="K35" s="12" t="s">
        <v>176</v>
      </c>
      <c r="L35" s="12" t="s">
        <v>177</v>
      </c>
      <c r="M35" s="12" t="s">
        <v>176</v>
      </c>
      <c r="N35" s="20" t="s">
        <v>178</v>
      </c>
      <c r="O35" s="21" t="s">
        <v>179</v>
      </c>
      <c r="P35" s="12" t="s">
        <v>180</v>
      </c>
    </row>
    <row r="36" ht="15" customHeight="1" spans="4:16">
      <c r="D36" s="9" t="s">
        <v>181</v>
      </c>
      <c r="E36" s="10" t="s">
        <v>182</v>
      </c>
      <c r="F36" s="9" t="s">
        <v>183</v>
      </c>
      <c r="G36" s="18">
        <v>6.57751596839136</v>
      </c>
      <c r="H36" s="12">
        <v>6.99088791645713</v>
      </c>
      <c r="I36" s="12">
        <v>7.25088791645713</v>
      </c>
      <c r="J36" s="13">
        <v>10.4180154297302</v>
      </c>
      <c r="K36" s="12">
        <v>10.6315853498335</v>
      </c>
      <c r="L36" s="12">
        <v>11.7166972308085</v>
      </c>
      <c r="M36" s="12">
        <v>10.24</v>
      </c>
      <c r="N36" s="20">
        <v>129.09</v>
      </c>
      <c r="O36" s="21">
        <v>6.15</v>
      </c>
      <c r="P36" s="12">
        <v>10.15</v>
      </c>
    </row>
    <row r="37" ht="29.25" spans="4:16">
      <c r="D37" s="19"/>
      <c r="E37" s="10" t="s">
        <v>184</v>
      </c>
      <c r="F37" s="19"/>
      <c r="G37" s="18" t="s">
        <v>185</v>
      </c>
      <c r="H37" s="12" t="s">
        <v>169</v>
      </c>
      <c r="I37" s="12" t="s">
        <v>169</v>
      </c>
      <c r="J37" s="12" t="s">
        <v>186</v>
      </c>
      <c r="K37" s="12" t="s">
        <v>167</v>
      </c>
      <c r="L37" s="12" t="s">
        <v>187</v>
      </c>
      <c r="M37" s="12" t="s">
        <v>176</v>
      </c>
      <c r="N37" s="20" t="s">
        <v>188</v>
      </c>
      <c r="O37" s="21" t="s">
        <v>189</v>
      </c>
      <c r="P37" s="12" t="s">
        <v>190</v>
      </c>
    </row>
    <row r="38" ht="15" customHeight="1" spans="4:16">
      <c r="D38" s="9" t="s">
        <v>191</v>
      </c>
      <c r="E38" s="10" t="s">
        <v>161</v>
      </c>
      <c r="F38" s="9" t="s">
        <v>192</v>
      </c>
      <c r="G38" s="18">
        <v>5.6698616791954</v>
      </c>
      <c r="H38" s="12">
        <v>5.80318161413408</v>
      </c>
      <c r="I38" s="12">
        <v>6.06318161413408</v>
      </c>
      <c r="J38" s="13">
        <v>8.46585038787175</v>
      </c>
      <c r="K38" s="12">
        <v>9.12867482904928</v>
      </c>
      <c r="L38" s="12">
        <v>6.76301803680998</v>
      </c>
      <c r="M38" s="12">
        <v>7.22</v>
      </c>
      <c r="N38" s="20">
        <v>83.09</v>
      </c>
      <c r="O38" s="21">
        <v>4.18</v>
      </c>
      <c r="P38" s="12">
        <v>6.69</v>
      </c>
    </row>
    <row r="39" ht="29.25" spans="4:16">
      <c r="D39" s="19"/>
      <c r="E39" s="10" t="s">
        <v>163</v>
      </c>
      <c r="F39" s="19"/>
      <c r="G39" s="18" t="s">
        <v>193</v>
      </c>
      <c r="H39" s="12" t="s">
        <v>167</v>
      </c>
      <c r="I39" s="12" t="s">
        <v>167</v>
      </c>
      <c r="J39" s="12" t="s">
        <v>194</v>
      </c>
      <c r="K39" s="12" t="s">
        <v>195</v>
      </c>
      <c r="L39" s="12" t="s">
        <v>196</v>
      </c>
      <c r="M39" s="12" t="s">
        <v>180</v>
      </c>
      <c r="N39" s="20" t="s">
        <v>188</v>
      </c>
      <c r="O39" s="21" t="s">
        <v>197</v>
      </c>
      <c r="P39" s="12" t="s">
        <v>198</v>
      </c>
    </row>
    <row r="40" ht="15" customHeight="1" spans="4:16">
      <c r="D40" s="9" t="s">
        <v>199</v>
      </c>
      <c r="E40" s="10" t="s">
        <v>161</v>
      </c>
      <c r="F40" s="9" t="s">
        <v>200</v>
      </c>
      <c r="G40" s="18">
        <v>10.1980025494382</v>
      </c>
      <c r="H40" s="12">
        <v>7.97686864632818</v>
      </c>
      <c r="I40" s="12">
        <v>8.23686864632817</v>
      </c>
      <c r="J40" s="13">
        <v>15.3775841557541</v>
      </c>
      <c r="K40" s="12">
        <v>9.59251895686218</v>
      </c>
      <c r="L40" s="12">
        <v>9.95197169071589</v>
      </c>
      <c r="M40" s="12">
        <v>9.96</v>
      </c>
      <c r="N40" s="20">
        <v>118.02</v>
      </c>
      <c r="O40" s="21">
        <v>6.27</v>
      </c>
      <c r="P40" s="12">
        <v>9.5</v>
      </c>
    </row>
    <row r="41" ht="29.25" spans="4:16">
      <c r="D41" s="19"/>
      <c r="E41" s="10" t="s">
        <v>163</v>
      </c>
      <c r="F41" s="19"/>
      <c r="G41" s="18" t="s">
        <v>201</v>
      </c>
      <c r="H41" s="12" t="s">
        <v>187</v>
      </c>
      <c r="I41" s="12" t="s">
        <v>187</v>
      </c>
      <c r="J41" s="12" t="s">
        <v>202</v>
      </c>
      <c r="K41" s="12" t="s">
        <v>203</v>
      </c>
      <c r="L41" s="12" t="s">
        <v>204</v>
      </c>
      <c r="M41" s="12" t="s">
        <v>205</v>
      </c>
      <c r="N41" s="20" t="s">
        <v>206</v>
      </c>
      <c r="O41" s="21" t="s">
        <v>197</v>
      </c>
      <c r="P41" s="12" t="s">
        <v>207</v>
      </c>
    </row>
    <row r="42" ht="15" customHeight="1" spans="4:16">
      <c r="D42" s="9" t="s">
        <v>208</v>
      </c>
      <c r="E42" s="10" t="s">
        <v>209</v>
      </c>
      <c r="F42" s="9" t="s">
        <v>210</v>
      </c>
      <c r="G42" s="18">
        <v>13.0387313157337</v>
      </c>
      <c r="H42" s="12">
        <v>12.741485884101</v>
      </c>
      <c r="I42" s="12">
        <v>13.001485884101</v>
      </c>
      <c r="J42" s="13">
        <v>15.5876490414235</v>
      </c>
      <c r="K42" s="12">
        <v>16.85</v>
      </c>
      <c r="L42" s="12">
        <v>14</v>
      </c>
      <c r="M42" s="12">
        <v>16.2151671683729</v>
      </c>
      <c r="N42" s="20" t="s">
        <v>211</v>
      </c>
      <c r="O42" s="21" t="s">
        <v>212</v>
      </c>
      <c r="P42" s="12">
        <v>15.4662739055765</v>
      </c>
    </row>
    <row r="43" ht="29.25" spans="4:16">
      <c r="D43" s="19"/>
      <c r="E43" s="10" t="s">
        <v>213</v>
      </c>
      <c r="F43" s="19"/>
      <c r="G43" s="18" t="s">
        <v>214</v>
      </c>
      <c r="H43" s="12" t="s">
        <v>215</v>
      </c>
      <c r="I43" s="12" t="s">
        <v>215</v>
      </c>
      <c r="J43" s="13" t="s">
        <v>165</v>
      </c>
      <c r="K43" s="12" t="s">
        <v>215</v>
      </c>
      <c r="L43" s="12" t="s">
        <v>216</v>
      </c>
      <c r="M43" s="12" t="s">
        <v>217</v>
      </c>
      <c r="N43" s="20" t="s">
        <v>218</v>
      </c>
      <c r="O43" s="21" t="s">
        <v>219</v>
      </c>
      <c r="P43" s="12" t="s">
        <v>220</v>
      </c>
    </row>
    <row r="44" ht="15" customHeight="1" spans="4:16">
      <c r="D44" s="9" t="s">
        <v>221</v>
      </c>
      <c r="E44" s="10" t="s">
        <v>222</v>
      </c>
      <c r="F44" s="9" t="s">
        <v>223</v>
      </c>
      <c r="G44" s="18">
        <v>16.2230795159978</v>
      </c>
      <c r="H44" s="22"/>
      <c r="I44" s="12">
        <v>21.2993836654683</v>
      </c>
      <c r="J44" s="13">
        <v>24.8753488114883</v>
      </c>
      <c r="K44" s="12">
        <v>21.7002773652731</v>
      </c>
      <c r="L44" s="12">
        <v>19.9347563299565</v>
      </c>
      <c r="M44" s="22"/>
      <c r="N44" s="22"/>
      <c r="O44" s="22"/>
      <c r="P44" s="22"/>
    </row>
    <row r="45" ht="15" spans="4:16">
      <c r="D45" s="17"/>
      <c r="E45" s="10" t="s">
        <v>224</v>
      </c>
      <c r="F45" s="17"/>
      <c r="G45" s="18">
        <v>17.2435936628624</v>
      </c>
      <c r="H45" s="22"/>
      <c r="I45" s="12">
        <v>24.1905616460697</v>
      </c>
      <c r="J45" s="13">
        <v>28.7698907862139</v>
      </c>
      <c r="K45" s="12">
        <v>24.0965613688707</v>
      </c>
      <c r="L45" s="12">
        <v>20.8010002763382</v>
      </c>
      <c r="M45" s="22"/>
      <c r="N45" s="22"/>
      <c r="O45" s="22"/>
      <c r="P45" s="22"/>
    </row>
    <row r="46" ht="15" spans="4:16">
      <c r="D46" s="17"/>
      <c r="E46" s="10" t="s">
        <v>225</v>
      </c>
      <c r="F46" s="17"/>
      <c r="G46" s="18">
        <v>34.3831897763779</v>
      </c>
      <c r="H46" s="22"/>
      <c r="I46" s="12">
        <v>47.9751306490777</v>
      </c>
      <c r="J46" s="13">
        <v>46.658074290839</v>
      </c>
      <c r="K46" s="12">
        <v>32.186368198592</v>
      </c>
      <c r="L46" s="12">
        <v>34.3244875511905</v>
      </c>
      <c r="M46" s="22"/>
      <c r="N46" s="22"/>
      <c r="O46" s="22"/>
      <c r="P46" s="22"/>
    </row>
    <row r="47" ht="15" spans="4:16">
      <c r="D47" s="17"/>
      <c r="E47" s="10" t="s">
        <v>226</v>
      </c>
      <c r="F47" s="17"/>
      <c r="G47" s="18">
        <v>42.0365094295162</v>
      </c>
      <c r="H47" s="22"/>
      <c r="I47" s="12">
        <v>51.9935578316964</v>
      </c>
      <c r="J47" s="13">
        <v>50.5443191808133</v>
      </c>
      <c r="K47" s="12">
        <v>32.8201849730004</v>
      </c>
      <c r="L47" s="12">
        <v>36.931705323814</v>
      </c>
      <c r="M47" s="22"/>
      <c r="N47" s="22"/>
      <c r="O47" s="22"/>
      <c r="P47" s="22"/>
    </row>
    <row r="48" ht="29.25" spans="4:16">
      <c r="D48" s="19"/>
      <c r="E48" s="10" t="s">
        <v>227</v>
      </c>
      <c r="F48" s="19"/>
      <c r="G48" s="18" t="s">
        <v>228</v>
      </c>
      <c r="H48" s="22"/>
      <c r="I48" s="12" t="s">
        <v>229</v>
      </c>
      <c r="J48" s="13" t="s">
        <v>230</v>
      </c>
      <c r="K48" s="12" t="s">
        <v>231</v>
      </c>
      <c r="L48" s="12" t="s">
        <v>202</v>
      </c>
      <c r="M48" s="22"/>
      <c r="N48" s="22"/>
      <c r="O48" s="22"/>
      <c r="P48" s="22"/>
    </row>
    <row r="49" ht="14.4" customHeight="1" spans="4:16">
      <c r="D49" s="23" t="s">
        <v>232</v>
      </c>
      <c r="E49" s="23"/>
      <c r="F49" s="23"/>
      <c r="G49" s="23"/>
      <c r="H49" s="23"/>
      <c r="I49" s="23"/>
      <c r="J49" s="23"/>
      <c r="K49" s="23"/>
      <c r="L49" s="23"/>
      <c r="M49" s="23"/>
      <c r="N49" s="23"/>
      <c r="O49" s="23"/>
      <c r="P49" s="23"/>
    </row>
    <row r="50" ht="14.4" customHeight="1" spans="4:16">
      <c r="D50" s="24" t="s">
        <v>233</v>
      </c>
      <c r="E50" s="24"/>
      <c r="F50" s="24"/>
      <c r="G50" s="24"/>
      <c r="H50" s="24"/>
      <c r="I50" s="24"/>
      <c r="J50" s="24"/>
      <c r="K50" s="24"/>
      <c r="L50" s="24"/>
      <c r="M50" s="24"/>
      <c r="N50" s="24"/>
      <c r="O50" s="24"/>
      <c r="P50" s="24"/>
    </row>
    <row r="51" ht="48" customHeight="1" spans="4:16">
      <c r="D51" s="24" t="s">
        <v>234</v>
      </c>
      <c r="E51" s="24"/>
      <c r="F51" s="24"/>
      <c r="G51" s="24"/>
      <c r="H51" s="24"/>
      <c r="I51" s="24"/>
      <c r="J51" s="24"/>
      <c r="K51" s="24"/>
      <c r="L51" s="24"/>
      <c r="M51" s="24"/>
      <c r="N51" s="24"/>
      <c r="O51" s="24"/>
      <c r="P51" s="24"/>
    </row>
    <row r="52" ht="29.4" customHeight="1" spans="4:16">
      <c r="D52" s="24" t="s">
        <v>235</v>
      </c>
      <c r="E52" s="24"/>
      <c r="F52" s="24"/>
      <c r="G52" s="24"/>
      <c r="H52" s="24"/>
      <c r="I52" s="24"/>
      <c r="J52" s="24"/>
      <c r="K52" s="24"/>
      <c r="L52" s="24"/>
      <c r="M52" s="24"/>
      <c r="N52" s="24"/>
      <c r="O52" s="24"/>
      <c r="P52" s="24"/>
    </row>
    <row r="53" spans="4:16">
      <c r="D53" s="24" t="s">
        <v>236</v>
      </c>
      <c r="E53" s="24"/>
      <c r="F53" s="24"/>
      <c r="G53" s="24"/>
      <c r="H53" s="24"/>
      <c r="I53" s="24"/>
      <c r="J53" s="24"/>
      <c r="K53" s="24"/>
      <c r="L53" s="24"/>
      <c r="M53" s="24"/>
      <c r="N53" s="24"/>
      <c r="O53" s="24"/>
      <c r="P53" s="24"/>
    </row>
  </sheetData>
  <mergeCells count="28">
    <mergeCell ref="D49:P49"/>
    <mergeCell ref="D50:P50"/>
    <mergeCell ref="D51:P51"/>
    <mergeCell ref="D52:P52"/>
    <mergeCell ref="D53:P53"/>
    <mergeCell ref="D7:D11"/>
    <mergeCell ref="D12:D13"/>
    <mergeCell ref="D16:D21"/>
    <mergeCell ref="D22:D31"/>
    <mergeCell ref="D32:D33"/>
    <mergeCell ref="D34:D35"/>
    <mergeCell ref="D36:D37"/>
    <mergeCell ref="D38:D39"/>
    <mergeCell ref="D40:D41"/>
    <mergeCell ref="D42:D43"/>
    <mergeCell ref="D44:D48"/>
    <mergeCell ref="F7:F11"/>
    <mergeCell ref="F12:F13"/>
    <mergeCell ref="F16:F21"/>
    <mergeCell ref="F22:F31"/>
    <mergeCell ref="F32:F33"/>
    <mergeCell ref="F34:F35"/>
    <mergeCell ref="F36:F37"/>
    <mergeCell ref="F38:F39"/>
    <mergeCell ref="F40:F41"/>
    <mergeCell ref="F42:F43"/>
    <mergeCell ref="F44:F48"/>
    <mergeCell ref="D4:P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尺寸分段</vt:lpstr>
      <vt:lpstr>本地配送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Hima</dc:creator>
  <cp:lastModifiedBy>WPS_1691982633</cp:lastModifiedBy>
  <dcterms:created xsi:type="dcterms:W3CDTF">2025-11-29T19:03:00Z</dcterms:created>
  <dcterms:modified xsi:type="dcterms:W3CDTF">2026-05-29T09:18:30Z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2025-11-29T19:04:11Z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53fcd0d7-bb2a-4aed-91ea-a82d45ec8e12</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y fmtid="{D5CDD505-2E9C-101B-9397-08002B2CF9AE}" pid="10" name="ICV">
    <vt:lpwstr>5A17B408BCE94EB99309240EC77C0E5B_13</vt:lpwstr>
  </property>
  <property fmtid="{D5CDD505-2E9C-101B-9397-08002B2CF9AE}" pid="11" name="KSOProductBuildVer">
    <vt:lpwstr>2052-12.1.0.26375</vt:lpwstr>
  </property>
  <property fmtid="{D5CDD505-2E9C-101B-9397-08002B2CF9AE}" pid="12" name="CalculationRule">
    <vt:i4>0</vt:i4>
  </property>
</Properties>
</file>